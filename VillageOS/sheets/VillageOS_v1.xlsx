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ettings" sheetId="1" state="visible" r:id="rId1"/>
    <sheet xmlns:r="http://schemas.openxmlformats.org/officeDocument/2006/relationships" name="01_Dashboard" sheetId="2" state="visible" r:id="rId2"/>
    <sheet xmlns:r="http://schemas.openxmlformats.org/officeDocument/2006/relationships" name="02_Village_Data" sheetId="3" state="visible" r:id="rId3"/>
    <sheet xmlns:r="http://schemas.openxmlformats.org/officeDocument/2006/relationships" name="03_Resources" sheetId="4" state="visible" r:id="rId4"/>
    <sheet xmlns:r="http://schemas.openxmlformats.org/officeDocument/2006/relationships" name="04_Hero" sheetId="5" state="visible" r:id="rId5"/>
    <sheet xmlns:r="http://schemas.openxmlformats.org/officeDocument/2006/relationships" name="05_Culture" sheetId="6" state="visible" r:id="rId6"/>
    <sheet xmlns:r="http://schemas.openxmlformats.org/officeDocument/2006/relationships" name="06_Build_Planner" sheetId="7" state="visible" r:id="rId7"/>
    <sheet xmlns:r="http://schemas.openxmlformats.org/officeDocument/2006/relationships" name="07_Raid_Planner" sheetId="8" state="visible" r:id="rId8"/>
    <sheet xmlns:r="http://schemas.openxmlformats.org/officeDocument/2006/relationships" name="08_Map_Planner" sheetId="9" state="visible" r:id="rId9"/>
    <sheet xmlns:r="http://schemas.openxmlformats.org/officeDocument/2006/relationships" name="09_Daily_Log" sheetId="10" state="visible" r:id="rId10"/>
    <sheet xmlns:r="http://schemas.openxmlformats.org/officeDocument/2006/relationships" name="10_AI_Analysis" sheetId="11" state="visible" r:id="rId11"/>
    <sheet xmlns:r="http://schemas.openxmlformats.org/officeDocument/2006/relationships" name="Calculations_Lookup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FFFFFF"/>
      <sz val="16"/>
    </font>
    <font>
      <name val="Inter"/>
      <b val="1"/>
      <sz val="10"/>
    </font>
    <font>
      <name val="Inter"/>
      <sz val="10"/>
    </font>
    <font>
      <name val="Inter"/>
      <b val="1"/>
      <color rgb="001E293B"/>
      <sz val="14"/>
    </font>
    <font>
      <name val="Inter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40" customHeight="1">
      <c r="A1" s="1" t="inlineStr">
        <is>
          <t xml:space="preserve">  VillageOS  |  Settings</t>
        </is>
      </c>
    </row>
    <row r="2" ht="15" customHeight="1"/>
    <row r="3">
      <c r="A3" s="2" t="inlineStr">
        <is>
          <t>Key</t>
        </is>
      </c>
      <c r="B3" s="2" t="inlineStr">
        <is>
          <t>Value</t>
        </is>
      </c>
    </row>
    <row r="4" ht="22" customHeight="1">
      <c r="A4" s="3" t="inlineStr">
        <is>
          <t>Account Name</t>
        </is>
      </c>
      <c r="B4" s="3" t="inlineStr">
        <is>
          <t>Swayam</t>
        </is>
      </c>
    </row>
    <row r="5" ht="22" customHeight="1">
      <c r="A5" s="3" t="inlineStr">
        <is>
          <t>Tribe</t>
        </is>
      </c>
      <c r="B5" s="3" t="inlineStr">
        <is>
          <t>Gauls</t>
        </is>
      </c>
    </row>
    <row r="6" ht="22" customHeight="1">
      <c r="A6" s="3" t="inlineStr">
        <is>
          <t>Server Speed</t>
        </is>
      </c>
      <c r="B6" s="3" t="n">
        <v>3</v>
      </c>
    </row>
    <row r="7" ht="22" customHeight="1">
      <c r="A7" s="3" t="inlineStr">
        <is>
          <t>Gold Strategy</t>
        </is>
      </c>
      <c r="B7" s="3" t="inlineStr">
        <is>
          <t>Light Gold</t>
        </is>
      </c>
    </row>
    <row r="8" ht="22" customHeight="1">
      <c r="A8" s="3" t="inlineStr">
        <is>
          <t>Timezone</t>
        </is>
      </c>
      <c r="B8" s="3" t="inlineStr">
        <is>
          <t>GMT+5:30</t>
        </is>
      </c>
    </row>
    <row r="9" ht="22" customHeight="1">
      <c r="A9" s="3" t="inlineStr">
        <is>
          <t>Server Start Date</t>
        </is>
      </c>
      <c r="B9" s="3" t="inlineStr">
        <is>
          <t>2026-07-01</t>
        </is>
      </c>
    </row>
    <row r="10" ht="22" customHeight="1">
      <c r="A10" s="3" t="inlineStr">
        <is>
          <t>Current Village</t>
        </is>
      </c>
      <c r="B10" s="3" t="inlineStr">
        <is>
          <t>Capital 01</t>
        </is>
      </c>
    </row>
    <row r="11" ht="22" customHeight="1">
      <c r="A11" s="3" t="inlineStr">
        <is>
          <t>Capital Coordinates</t>
        </is>
      </c>
      <c r="B11" s="3" t="inlineStr">
        <is>
          <t>(0|0)</t>
        </is>
      </c>
    </row>
    <row r="12" ht="22" customHeight="1">
      <c r="A12" s="3" t="inlineStr">
        <is>
          <t>Target Expansion Slot</t>
        </is>
      </c>
      <c r="B12" s="3" t="n">
        <v>2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2" customWidth="1" min="3" max="3"/>
    <col width="12" customWidth="1" min="4" max="4"/>
    <col width="17" customWidth="1" min="5" max="5"/>
    <col width="17" customWidth="1" min="6" max="6"/>
    <col width="12" customWidth="1" min="7" max="7"/>
    <col width="17" customWidth="1" min="8" max="8"/>
    <col width="12" customWidth="1" min="9" max="9"/>
    <col width="12" customWidth="1" min="10" max="10"/>
    <col width="17" customWidth="1" min="11" max="11"/>
    <col width="12" customWidth="1" min="12" max="12"/>
    <col width="12" customWidth="1" min="13" max="13"/>
  </cols>
  <sheetData>
    <row r="1" ht="40" customHeight="1">
      <c r="A1" s="1" t="inlineStr">
        <is>
          <t xml:space="preserve">  VillageOS  |  Dashboard</t>
        </is>
      </c>
    </row>
    <row r="2" ht="15" customHeight="1"/>
    <row r="3"/>
    <row r="4">
      <c r="B4" s="4" t="inlineStr">
        <is>
          <t>Active Profile</t>
        </is>
      </c>
      <c r="F4" s="4" t="inlineStr">
        <is>
          <t>Settlement ETA</t>
        </is>
      </c>
    </row>
    <row r="5">
      <c r="B5" s="5">
        <f>'00_Settings'!B4 &amp; " (x" &amp; '00_Settings'!B6 &amp; ")"</f>
        <v/>
      </c>
      <c r="F5" s="5">
        <f>'05_Culture'!B8</f>
        <v/>
      </c>
    </row>
    <row r="6"/>
    <row r="7" ht="20" customHeight="1">
      <c r="B7" s="4" t="inlineStr">
        <is>
          <t>Wood Status</t>
        </is>
      </c>
    </row>
    <row r="8" ht="22" customHeight="1">
      <c r="B8" s="5">
        <f>'03_Resources'!B4 &amp; " / " &amp; '03_Resources'!D4</f>
        <v/>
      </c>
    </row>
    <row r="9">
      <c r="B9" s="6">
        <f>'03_Resources'!C4 &amp; "/hr"</f>
        <v/>
      </c>
    </row>
    <row r="10"/>
    <row r="11" ht="20" customHeight="1">
      <c r="E11" s="4" t="inlineStr">
        <is>
          <t>Clay Status</t>
        </is>
      </c>
    </row>
    <row r="12" ht="22" customHeight="1">
      <c r="E12" s="5">
        <f>'03_Resources'!E4 &amp; " / " &amp; '03_Resources'!G4</f>
        <v/>
      </c>
    </row>
    <row r="13">
      <c r="E13" s="6">
        <f>'03_Resources'!F4 &amp; "/hr"</f>
        <v/>
      </c>
    </row>
    <row r="14"/>
    <row r="15" ht="20" customHeight="1">
      <c r="H15" s="4" t="inlineStr">
        <is>
          <t>Iron Status</t>
        </is>
      </c>
    </row>
    <row r="16" ht="22" customHeight="1">
      <c r="H16" s="5">
        <f>'03_Resources'!H4 &amp; " / " &amp; '03_Resources'!J4</f>
        <v/>
      </c>
    </row>
    <row r="17">
      <c r="H17" s="6">
        <f>'03_Resources'!I4 &amp; "/hr"</f>
        <v/>
      </c>
    </row>
    <row r="18"/>
    <row r="19" ht="20" customHeight="1">
      <c r="K19" s="4" t="inlineStr">
        <is>
          <t>Crop Status</t>
        </is>
      </c>
    </row>
    <row r="20" ht="22" customHeight="1">
      <c r="K20" s="5">
        <f>'03_Resources'!K4 &amp; " / " &amp; '03_Resources'!M4</f>
        <v/>
      </c>
    </row>
    <row r="21">
      <c r="K21" s="6">
        <f>'03_Resources'!L4 &amp; "/hr"</f>
        <v/>
      </c>
    </row>
  </sheetData>
  <mergeCells count="17">
    <mergeCell ref="K21:L21"/>
    <mergeCell ref="E12:F12"/>
    <mergeCell ref="B5:D5"/>
    <mergeCell ref="K20:L20"/>
    <mergeCell ref="A1:M1"/>
    <mergeCell ref="F5:H5"/>
    <mergeCell ref="B7:C7"/>
    <mergeCell ref="H16:I16"/>
    <mergeCell ref="B4:D4"/>
    <mergeCell ref="E11:F11"/>
    <mergeCell ref="H15:I15"/>
    <mergeCell ref="K19:L19"/>
    <mergeCell ref="F4:H4"/>
    <mergeCell ref="E13:F13"/>
    <mergeCell ref="B9:C9"/>
    <mergeCell ref="B8:C8"/>
    <mergeCell ref="H17:I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6" customWidth="1" min="4" max="4"/>
    <col width="16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40" customHeight="1">
      <c r="A1" s="1" t="inlineStr">
        <is>
          <t xml:space="preserve">  VillageOS  |  Village Data</t>
        </is>
      </c>
    </row>
    <row r="2" ht="15" customHeight="1"/>
    <row r="3" ht="22" customHeight="1">
      <c r="A3" s="2" t="inlineStr">
        <is>
          <t>Village ID</t>
        </is>
      </c>
      <c r="B3" s="2" t="inlineStr">
        <is>
          <t>Category</t>
        </is>
      </c>
      <c r="C3" s="2" t="inlineStr">
        <is>
          <t>Slot ID</t>
        </is>
      </c>
      <c r="D3" s="2" t="inlineStr">
        <is>
          <t>Building Name</t>
        </is>
      </c>
      <c r="E3" s="2" t="inlineStr">
        <is>
          <t>Current Level</t>
        </is>
      </c>
      <c r="F3" s="2" t="inlineStr">
        <is>
          <t>Target Level</t>
        </is>
      </c>
      <c r="G3" s="2" t="inlineStr">
        <is>
          <t>Priority</t>
        </is>
      </c>
    </row>
    <row r="4" ht="22" customHeight="1">
      <c r="A4" s="7" t="n">
        <v>1</v>
      </c>
      <c r="B4" s="7" t="inlineStr">
        <is>
          <t>d2</t>
        </is>
      </c>
      <c r="C4" s="7" t="n">
        <v>1</v>
      </c>
      <c r="D4" s="7" t="inlineStr">
        <is>
          <t>Woodcutter</t>
        </is>
      </c>
      <c r="E4" s="7" t="n">
        <v>4</v>
      </c>
      <c r="F4" s="7" t="n">
        <v>10</v>
      </c>
      <c r="G4" s="7" t="n">
        <v>5</v>
      </c>
    </row>
    <row r="5" ht="22" customHeight="1">
      <c r="A5" s="3" t="n">
        <v>1</v>
      </c>
      <c r="B5" s="3" t="inlineStr">
        <is>
          <t>d2</t>
        </is>
      </c>
      <c r="C5" s="3" t="n">
        <v>2</v>
      </c>
      <c r="D5" s="3" t="inlineStr">
        <is>
          <t>Clay Pit</t>
        </is>
      </c>
      <c r="E5" s="3" t="n">
        <v>5</v>
      </c>
      <c r="F5" s="3" t="n">
        <v>10</v>
      </c>
      <c r="G5" s="3" t="n">
        <v>5</v>
      </c>
    </row>
    <row r="6" ht="22" customHeight="1">
      <c r="A6" s="7" t="n">
        <v>1</v>
      </c>
      <c r="B6" s="7" t="inlineStr">
        <is>
          <t>d2</t>
        </is>
      </c>
      <c r="C6" s="7" t="n">
        <v>3</v>
      </c>
      <c r="D6" s="7" t="inlineStr">
        <is>
          <t>Iron Mine</t>
        </is>
      </c>
      <c r="E6" s="7" t="n">
        <v>4</v>
      </c>
      <c r="F6" s="7" t="n">
        <v>10</v>
      </c>
      <c r="G6" s="7" t="n">
        <v>4</v>
      </c>
    </row>
    <row r="7" ht="22" customHeight="1">
      <c r="A7" s="3" t="n">
        <v>1</v>
      </c>
      <c r="B7" s="3" t="inlineStr">
        <is>
          <t>d2</t>
        </is>
      </c>
      <c r="C7" s="3" t="n">
        <v>4</v>
      </c>
      <c r="D7" s="3" t="inlineStr">
        <is>
          <t>Cropland</t>
        </is>
      </c>
      <c r="E7" s="3" t="n">
        <v>4</v>
      </c>
      <c r="F7" s="3" t="n">
        <v>10</v>
      </c>
      <c r="G7" s="3" t="n">
        <v>5</v>
      </c>
    </row>
    <row r="8" ht="22" customHeight="1">
      <c r="A8" s="7" t="n">
        <v>1</v>
      </c>
      <c r="B8" s="7" t="inlineStr">
        <is>
          <t>d1</t>
        </is>
      </c>
      <c r="C8" s="7" t="n">
        <v>19</v>
      </c>
      <c r="D8" s="7" t="inlineStr">
        <is>
          <t>Main Building</t>
        </is>
      </c>
      <c r="E8" s="7" t="n">
        <v>5</v>
      </c>
      <c r="F8" s="7" t="n">
        <v>10</v>
      </c>
      <c r="G8" s="7" t="n">
        <v>3</v>
      </c>
    </row>
    <row r="9" ht="22" customHeight="1">
      <c r="A9" s="3" t="n">
        <v>1</v>
      </c>
      <c r="B9" s="3" t="inlineStr">
        <is>
          <t>d1</t>
        </is>
      </c>
      <c r="C9" s="3" t="n">
        <v>20</v>
      </c>
      <c r="D9" s="3" t="inlineStr">
        <is>
          <t>Warehouse</t>
        </is>
      </c>
      <c r="E9" s="3" t="n">
        <v>3</v>
      </c>
      <c r="F9" s="3" t="n">
        <v>5</v>
      </c>
      <c r="G9" s="3" t="n">
        <v>4</v>
      </c>
    </row>
    <row r="10" ht="22" customHeight="1">
      <c r="A10" s="7" t="n">
        <v>1</v>
      </c>
      <c r="B10" s="7" t="inlineStr">
        <is>
          <t>d1</t>
        </is>
      </c>
      <c r="C10" s="7" t="n">
        <v>21</v>
      </c>
      <c r="D10" s="7" t="inlineStr">
        <is>
          <t>Granary</t>
        </is>
      </c>
      <c r="E10" s="7" t="n">
        <v>3</v>
      </c>
      <c r="F10" s="7" t="n">
        <v>5</v>
      </c>
      <c r="G10" s="7" t="n">
        <v>4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</cols>
  <sheetData>
    <row r="1" ht="40" customHeight="1">
      <c r="A1" s="1" t="inlineStr">
        <is>
          <t xml:space="preserve">  VillageOS  |  Resources</t>
        </is>
      </c>
    </row>
    <row r="2" ht="15" customHeight="1"/>
    <row r="3" ht="22" customHeight="1">
      <c r="A3" s="2" t="inlineStr">
        <is>
          <t>Village ID</t>
        </is>
      </c>
      <c r="B3" s="2" t="inlineStr">
        <is>
          <t>Wood Current</t>
        </is>
      </c>
      <c r="C3" s="2" t="inlineStr">
        <is>
          <t>Wood Prod</t>
        </is>
      </c>
      <c r="D3" s="2" t="inlineStr">
        <is>
          <t>Wood Cap</t>
        </is>
      </c>
      <c r="E3" s="2" t="inlineStr">
        <is>
          <t>Clay Current</t>
        </is>
      </c>
      <c r="F3" s="2" t="inlineStr">
        <is>
          <t>Clay Prod</t>
        </is>
      </c>
      <c r="G3" s="2" t="inlineStr">
        <is>
          <t>Clay Cap</t>
        </is>
      </c>
      <c r="H3" s="2" t="inlineStr">
        <is>
          <t>Iron Current</t>
        </is>
      </c>
      <c r="I3" s="2" t="inlineStr">
        <is>
          <t>Iron Prod</t>
        </is>
      </c>
      <c r="J3" s="2" t="inlineStr">
        <is>
          <t>Iron Cap</t>
        </is>
      </c>
      <c r="K3" s="2" t="inlineStr">
        <is>
          <t>Crop Current</t>
        </is>
      </c>
      <c r="L3" s="2" t="inlineStr">
        <is>
          <t>Crop Prod</t>
        </is>
      </c>
      <c r="M3" s="2" t="inlineStr">
        <is>
          <t>Crop Cap</t>
        </is>
      </c>
    </row>
    <row r="4" ht="22" customHeight="1">
      <c r="A4" s="3" t="n">
        <v>1</v>
      </c>
      <c r="B4" s="3" t="n">
        <v>12000</v>
      </c>
      <c r="C4" s="3" t="n">
        <v>420</v>
      </c>
      <c r="D4" s="3" t="n">
        <v>20000</v>
      </c>
      <c r="E4" s="3" t="n">
        <v>14500</v>
      </c>
      <c r="F4" s="3" t="n">
        <v>480</v>
      </c>
      <c r="G4" s="3" t="n">
        <v>20000</v>
      </c>
      <c r="H4" s="3" t="n">
        <v>6200</v>
      </c>
      <c r="I4" s="3" t="n">
        <v>320</v>
      </c>
      <c r="J4" s="3" t="n">
        <v>20000</v>
      </c>
      <c r="K4" s="3" t="n">
        <v>1500</v>
      </c>
      <c r="L4" s="3" t="n">
        <v>120</v>
      </c>
      <c r="M4" s="3" t="n">
        <v>20000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40" customHeight="1">
      <c r="A1" s="1" t="inlineStr">
        <is>
          <t xml:space="preserve">  VillageOS  |  Hero</t>
        </is>
      </c>
    </row>
    <row r="2" ht="15" customHeight="1"/>
    <row r="3">
      <c r="A3" s="2" t="inlineStr">
        <is>
          <t>Attribute</t>
        </is>
      </c>
      <c r="B3" s="2" t="inlineStr">
        <is>
          <t>Value</t>
        </is>
      </c>
    </row>
    <row r="4" ht="22" customHeight="1">
      <c r="A4" s="3" t="inlineStr">
        <is>
          <t>Hero Name</t>
        </is>
      </c>
      <c r="B4" s="3" t="inlineStr">
        <is>
          <t>Jack_Slayer</t>
        </is>
      </c>
    </row>
    <row r="5" ht="22" customHeight="1">
      <c r="A5" s="3" t="inlineStr">
        <is>
          <t>Level</t>
        </is>
      </c>
      <c r="B5" s="3" t="n">
        <v>6</v>
      </c>
    </row>
    <row r="6" ht="22" customHeight="1">
      <c r="A6" s="3" t="inlineStr">
        <is>
          <t>Current XP</t>
        </is>
      </c>
      <c r="B6" s="3" t="n">
        <v>1850</v>
      </c>
    </row>
    <row r="7" ht="22" customHeight="1">
      <c r="A7" s="3" t="inlineStr">
        <is>
          <t>Next Level XP</t>
        </is>
      </c>
      <c r="B7" s="3" t="n">
        <v>2500</v>
      </c>
    </row>
    <row r="8" ht="22" customHeight="1">
      <c r="A8" s="3" t="inlineStr">
        <is>
          <t>Health %</t>
        </is>
      </c>
      <c r="B8" s="3" t="n">
        <v>85</v>
      </c>
    </row>
    <row r="9" ht="22" customHeight="1">
      <c r="A9" s="3" t="inlineStr">
        <is>
          <t>Fighting Strength</t>
        </is>
      </c>
      <c r="B9" s="3" t="n">
        <v>480</v>
      </c>
    </row>
    <row r="10" ht="22" customHeight="1">
      <c r="A10" s="3" t="inlineStr">
        <is>
          <t>Resource Production Bonus %</t>
        </is>
      </c>
      <c r="B10" s="3" t="n">
        <v>24</v>
      </c>
    </row>
    <row r="11" ht="22" customHeight="1">
      <c r="A11" s="3" t="inlineStr">
        <is>
          <t>Active Weapon</t>
        </is>
      </c>
      <c r="B11" s="3" t="inlineStr">
        <is>
          <t>Sword of the Gaul</t>
        </is>
      </c>
    </row>
    <row r="12" ht="22" customHeight="1">
      <c r="A12" s="3" t="inlineStr">
        <is>
          <t>Active Armor</t>
        </is>
      </c>
      <c r="B12" s="3" t="inlineStr">
        <is>
          <t>Plated Chestplate</t>
        </is>
      </c>
    </row>
    <row r="13" ht="22" customHeight="1">
      <c r="A13" s="3" t="inlineStr">
        <is>
          <t>Adventures Run</t>
        </is>
      </c>
      <c r="B13" s="3" t="n">
        <v>12</v>
      </c>
    </row>
    <row r="14" ht="22" customHeight="1">
      <c r="A14" s="3" t="inlineStr">
        <is>
          <t>Current Status</t>
        </is>
      </c>
      <c r="B14" s="3" t="inlineStr">
        <is>
          <t>Idle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40" customHeight="1">
      <c r="A1" s="1" t="inlineStr">
        <is>
          <t xml:space="preserve">  VillageOS  |  Culture</t>
        </is>
      </c>
    </row>
    <row r="2" ht="15" customHeight="1"/>
    <row r="3">
      <c r="A3" s="2" t="inlineStr">
        <is>
          <t>Metric</t>
        </is>
      </c>
      <c r="B3" s="2" t="inlineStr">
        <is>
          <t>Value</t>
        </is>
      </c>
    </row>
    <row r="4" ht="22" customHeight="1">
      <c r="A4" s="3" t="inlineStr">
        <is>
          <t>Current CP</t>
        </is>
      </c>
      <c r="B4" s="3" t="n">
        <v>423</v>
      </c>
    </row>
    <row r="5" ht="22" customHeight="1">
      <c r="A5" s="3" t="inlineStr">
        <is>
          <t>CP / Day</t>
        </is>
      </c>
      <c r="B5" s="3" t="n">
        <v>120</v>
      </c>
    </row>
    <row r="6" ht="22" customHeight="1">
      <c r="A6" s="3" t="inlineStr">
        <is>
          <t>Next Slot CP Goal</t>
        </is>
      </c>
      <c r="B6" s="3" t="n">
        <v>2000</v>
      </c>
    </row>
    <row r="7" ht="22" customHeight="1">
      <c r="A7" s="3" t="inlineStr">
        <is>
          <t>Days Until Expansion</t>
        </is>
      </c>
      <c r="B7" s="3">
        <f>(B6-B4)/B5</f>
        <v/>
      </c>
    </row>
    <row r="8" ht="22" customHeight="1">
      <c r="A8" s="3" t="inlineStr">
        <is>
          <t>Settlement Date ETA</t>
        </is>
      </c>
      <c r="B8" s="3">
        <f>TODAY()+B7</f>
        <v/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12" customWidth="1" min="4" max="4"/>
    <col width="20" customWidth="1" min="5" max="5"/>
    <col width="17" customWidth="1" min="6" max="6"/>
    <col width="17" customWidth="1" min="7" max="7"/>
    <col width="17" customWidth="1" min="8" max="8"/>
    <col width="17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40" customHeight="1">
      <c r="A1" s="1" t="inlineStr">
        <is>
          <t xml:space="preserve">  VillageOS  |  Build Planner</t>
        </is>
      </c>
    </row>
    <row r="2" ht="15" customHeight="1"/>
    <row r="3" ht="22" customHeight="1">
      <c r="A3" s="2" t="inlineStr">
        <is>
          <t>Status</t>
        </is>
      </c>
      <c r="B3" s="2" t="inlineStr">
        <is>
          <t>Village</t>
        </is>
      </c>
      <c r="C3" s="2" t="inlineStr">
        <is>
          <t>Building</t>
        </is>
      </c>
      <c r="D3" s="2" t="inlineStr">
        <is>
          <t>Level</t>
        </is>
      </c>
      <c r="E3" s="2" t="inlineStr">
        <is>
          <t>Time Required (s)</t>
        </is>
      </c>
      <c r="F3" s="2" t="inlineStr">
        <is>
          <t>Wood Cost</t>
        </is>
      </c>
      <c r="G3" s="2" t="inlineStr">
        <is>
          <t>Clay Cost</t>
        </is>
      </c>
      <c r="H3" s="2" t="inlineStr">
        <is>
          <t>Iron Cost</t>
        </is>
      </c>
      <c r="I3" s="2" t="inlineStr">
        <is>
          <t>Crop Cost</t>
        </is>
      </c>
    </row>
    <row r="4" ht="22" customHeight="1">
      <c r="A4" s="3" t="inlineStr">
        <is>
          <t>NOW</t>
        </is>
      </c>
      <c r="B4" s="3" t="inlineStr">
        <is>
          <t>Capital 01</t>
        </is>
      </c>
      <c r="C4" s="3" t="inlineStr">
        <is>
          <t>Clay Pit</t>
        </is>
      </c>
      <c r="D4" s="3" t="n">
        <v>6</v>
      </c>
      <c r="E4" s="3">
        <f>ROUND((VLOOKUP(C4, Calculations_Lookup!$A$4:$H$20, 8, FALSE) * 1.5) / '00_Settings'!B6 * (0.96 ^ VLOOKUP("Main Building", '02_Village_Data'!$D$4:$F$10, 2, FALSE)))</f>
        <v/>
      </c>
      <c r="F4" s="3">
        <f>ROUND(VLOOKUP(C4, Calculations_Lookup!$A$4:$H$20, 2, FALSE) * (1.28 ^ (D4 - 1)))</f>
        <v/>
      </c>
      <c r="G4" s="3">
        <f>ROUND(VLOOKUP(C4, Calculations_Lookup!$A$4:$H$20, 3, FALSE) * (1.28 ^ (D4 - 1)))</f>
        <v/>
      </c>
      <c r="H4" s="3">
        <f>ROUND(VLOOKUP(C4, Calculations_Lookup!$A$4:$H$20, 4, FALSE) * (1.28 ^ (D4 - 1)))</f>
        <v/>
      </c>
      <c r="I4" s="3">
        <f>ROUND(VLOOKUP(C4, Calculations_Lookup!$A$4:$H$20, 5, FALSE) * (1.28 ^ (D4 - 1)))</f>
        <v/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8" customWidth="1" min="3" max="3"/>
    <col width="16" customWidth="1" min="4" max="4"/>
    <col width="12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40" customHeight="1">
      <c r="A1" s="1" t="inlineStr">
        <is>
          <t xml:space="preserve">  VillageOS  |  Raid Planner</t>
        </is>
      </c>
    </row>
    <row r="2" ht="15" customHeight="1"/>
    <row r="3" ht="22" customHeight="1">
      <c r="A3" s="2" t="inlineStr">
        <is>
          <t>Oasis Coordinates</t>
        </is>
      </c>
      <c r="B3" s="2" t="inlineStr">
        <is>
          <t>Distance (Cells)</t>
        </is>
      </c>
      <c r="C3" s="2" t="inlineStr">
        <is>
          <t>Animals Present</t>
        </is>
      </c>
      <c r="D3" s="2" t="inlineStr">
        <is>
          <t>Loot Capacity</t>
        </is>
      </c>
      <c r="E3" s="2" t="inlineStr">
        <is>
          <t>HP Loss %</t>
        </is>
      </c>
      <c r="F3" s="2" t="inlineStr">
        <is>
          <t>ROI Score</t>
        </is>
      </c>
    </row>
    <row r="4" ht="22" customHeight="1">
      <c r="A4" s="7" t="inlineStr">
        <is>
          <t>(-4|12)</t>
        </is>
      </c>
      <c r="B4" s="7" t="n">
        <v>3.6</v>
      </c>
      <c r="C4" s="7" t="inlineStr">
        <is>
          <t>None</t>
        </is>
      </c>
      <c r="D4" s="7" t="n">
        <v>800</v>
      </c>
      <c r="E4" s="7" t="n">
        <v>2</v>
      </c>
      <c r="F4" s="7">
        <f>D4/(B4+1)</f>
        <v/>
      </c>
    </row>
    <row r="5" ht="22" customHeight="1">
      <c r="A5" s="3" t="inlineStr">
        <is>
          <t>(2|-8)</t>
        </is>
      </c>
      <c r="B5" s="3" t="n">
        <v>8.199999999999999</v>
      </c>
      <c r="C5" s="3" t="inlineStr">
        <is>
          <t>Spiders</t>
        </is>
      </c>
      <c r="D5" s="3" t="n">
        <v>1500</v>
      </c>
      <c r="E5" s="3" t="n">
        <v>15</v>
      </c>
      <c r="F5" s="3">
        <f>D5/(B5+1)</f>
        <v/>
      </c>
    </row>
    <row r="6" ht="22" customHeight="1">
      <c r="A6" s="7" t="inlineStr">
        <is>
          <t>(-1|1)</t>
        </is>
      </c>
      <c r="B6" s="7" t="n">
        <v>1.4</v>
      </c>
      <c r="C6" s="7" t="inlineStr">
        <is>
          <t>Bats</t>
        </is>
      </c>
      <c r="D6" s="7" t="n">
        <v>400</v>
      </c>
      <c r="E6" s="7" t="n">
        <v>5</v>
      </c>
      <c r="F6" s="7">
        <f>D6/(B6+1)</f>
        <v/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6" customWidth="1" min="4" max="4"/>
    <col width="13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40" customHeight="1">
      <c r="A1" s="1" t="inlineStr">
        <is>
          <t xml:space="preserve">  VillageOS  |  Map Planner</t>
        </is>
      </c>
    </row>
    <row r="2" ht="15" customHeight="1"/>
    <row r="3" ht="22" customHeight="1">
      <c r="A3" s="2" t="inlineStr">
        <is>
          <t>Coordinates</t>
        </is>
      </c>
      <c r="B3" s="2" t="inlineStr">
        <is>
          <t>Distance</t>
        </is>
      </c>
      <c r="C3" s="2" t="inlineStr">
        <is>
          <t>Cropper Type</t>
        </is>
      </c>
      <c r="D3" s="2" t="inlineStr">
        <is>
          <t>Oasis Bonus %</t>
        </is>
      </c>
      <c r="E3" s="2" t="inlineStr">
        <is>
          <t>Owner</t>
        </is>
      </c>
      <c r="F3" s="2" t="inlineStr">
        <is>
          <t>Priority Score</t>
        </is>
      </c>
    </row>
    <row r="4" ht="22" customHeight="1">
      <c r="A4" s="7" t="inlineStr">
        <is>
          <t>(12|-4)</t>
        </is>
      </c>
      <c r="B4" s="7" t="n">
        <v>12.6</v>
      </c>
      <c r="C4" s="7" t="inlineStr">
        <is>
          <t>15c</t>
        </is>
      </c>
      <c r="D4" s="7" t="n">
        <v>75</v>
      </c>
      <c r="E4" s="7" t="inlineStr">
        <is>
          <t>Unoccupied</t>
        </is>
      </c>
      <c r="F4" s="7">
        <f>D4/(B4+1)</f>
        <v/>
      </c>
    </row>
    <row r="5" ht="22" customHeight="1">
      <c r="A5" s="3" t="inlineStr">
        <is>
          <t>(-10|2)</t>
        </is>
      </c>
      <c r="B5" s="3" t="n">
        <v>10.2</v>
      </c>
      <c r="C5" s="3" t="inlineStr">
        <is>
          <t>9c</t>
        </is>
      </c>
      <c r="D5" s="3" t="n">
        <v>50</v>
      </c>
      <c r="E5" s="3" t="inlineStr">
        <is>
          <t>Unoccupied</t>
        </is>
      </c>
      <c r="F5" s="3">
        <f>D5/(B5+1)</f>
        <v/>
      </c>
    </row>
    <row r="6" ht="22" customHeight="1">
      <c r="A6" s="7" t="inlineStr">
        <is>
          <t>(1|15)</t>
        </is>
      </c>
      <c r="B6" s="7" t="n">
        <v>15</v>
      </c>
      <c r="C6" s="7" t="inlineStr">
        <is>
          <t>15c</t>
        </is>
      </c>
      <c r="D6" s="7" t="n">
        <v>100</v>
      </c>
      <c r="E6" s="7" t="inlineStr">
        <is>
          <t>Unoccupied</t>
        </is>
      </c>
      <c r="F6" s="7">
        <f>D6/(B6+1)</f>
        <v/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40" customHeight="1">
      <c r="A1" s="1" t="inlineStr">
        <is>
          <t xml:space="preserve">  VillageOS  |  Daily Log</t>
        </is>
      </c>
    </row>
    <row r="2" ht="15" customHeight="1"/>
    <row r="3" ht="22" customHeight="1">
      <c r="A3" s="2" t="inlineStr">
        <is>
          <t>Date</t>
        </is>
      </c>
      <c r="B3" s="2" t="inlineStr">
        <is>
          <t>Population</t>
        </is>
      </c>
      <c r="C3" s="2" t="inlineStr">
        <is>
          <t>Hero Level</t>
        </is>
      </c>
      <c r="D3" s="2" t="inlineStr">
        <is>
          <t>Wood Prod</t>
        </is>
      </c>
      <c r="E3" s="2" t="inlineStr">
        <is>
          <t>Clay Prod</t>
        </is>
      </c>
      <c r="F3" s="2" t="inlineStr">
        <is>
          <t>Iron Prod</t>
        </is>
      </c>
      <c r="G3" s="2" t="inlineStr">
        <is>
          <t>Crop Prod</t>
        </is>
      </c>
      <c r="H3" s="2" t="inlineStr">
        <is>
          <t>Total CP</t>
        </is>
      </c>
      <c r="I3" s="2" t="inlineStr">
        <is>
          <t>Rank</t>
        </is>
      </c>
    </row>
    <row r="4" ht="22" customHeight="1">
      <c r="A4" s="7" t="inlineStr">
        <is>
          <t>2026-07-01</t>
        </is>
      </c>
      <c r="B4" s="7" t="n">
        <v>100</v>
      </c>
      <c r="C4" s="7" t="n">
        <v>1</v>
      </c>
      <c r="D4" s="7" t="n">
        <v>100</v>
      </c>
      <c r="E4" s="7" t="n">
        <v>100</v>
      </c>
      <c r="F4" s="7" t="n">
        <v>80</v>
      </c>
      <c r="G4" s="7" t="n">
        <v>20</v>
      </c>
      <c r="H4" s="7" t="n">
        <v>40</v>
      </c>
      <c r="I4" s="7" t="n">
        <v>2400</v>
      </c>
    </row>
    <row r="5" ht="22" customHeight="1">
      <c r="A5" s="3" t="inlineStr">
        <is>
          <t>2026-07-02</t>
        </is>
      </c>
      <c r="B5" s="3" t="n">
        <v>112</v>
      </c>
      <c r="C5" s="3" t="n">
        <v>2</v>
      </c>
      <c r="D5" s="3" t="n">
        <v>140</v>
      </c>
      <c r="E5" s="3" t="n">
        <v>140</v>
      </c>
      <c r="F5" s="3" t="n">
        <v>110</v>
      </c>
      <c r="G5" s="3" t="n">
        <v>25</v>
      </c>
      <c r="H5" s="3" t="n">
        <v>80</v>
      </c>
      <c r="I5" s="3" t="n">
        <v>2250</v>
      </c>
    </row>
    <row r="6" ht="22" customHeight="1">
      <c r="A6" s="7" t="inlineStr">
        <is>
          <t>2026-07-03</t>
        </is>
      </c>
      <c r="B6" s="7" t="n">
        <v>124</v>
      </c>
      <c r="C6" s="7" t="n">
        <v>2</v>
      </c>
      <c r="D6" s="7" t="n">
        <v>190</v>
      </c>
      <c r="E6" s="7" t="n">
        <v>195</v>
      </c>
      <c r="F6" s="7" t="n">
        <v>150</v>
      </c>
      <c r="G6" s="7" t="n">
        <v>30</v>
      </c>
      <c r="H6" s="7" t="n">
        <v>130</v>
      </c>
      <c r="I6" s="7" t="n">
        <v>2100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3" customWidth="1" min="3" max="3"/>
    <col width="1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40" customHeight="1">
      <c r="A1" s="1" t="inlineStr">
        <is>
          <t xml:space="preserve">  VillageOS  |  AI Analysis</t>
        </is>
      </c>
    </row>
    <row r="2" ht="15" customHeight="1"/>
    <row r="3" ht="22" customHeight="1">
      <c r="A3" s="8" t="inlineStr">
        <is>
          <t>Today's Recommendations</t>
        </is>
      </c>
    </row>
    <row r="4" ht="22" customHeight="1">
      <c r="A4" s="2" t="inlineStr">
        <is>
          <t>Priority</t>
        </is>
      </c>
      <c r="B4" s="2" t="inlineStr">
        <is>
          <t>Recommended Action</t>
        </is>
      </c>
      <c r="C4" s="2" t="inlineStr">
        <is>
          <t>Reason</t>
        </is>
      </c>
      <c r="D4" s="2" t="inlineStr">
        <is>
          <t>ETA / Wait Time</t>
        </is>
      </c>
      <c r="E4" s="2" t="inlineStr">
        <is>
          <t>Benefit Metric</t>
        </is>
      </c>
    </row>
    <row r="5" ht="22" customHeight="1">
      <c r="A5" s="3" t="inlineStr">
        <is>
          <t>★★★★★</t>
        </is>
      </c>
      <c r="B5" s="3" t="inlineStr">
        <is>
          <t>Upgrade Clay Pit to 6</t>
        </is>
      </c>
      <c r="C5" s="3" t="inlineStr">
        <is>
          <t>Highest ROI</t>
        </is>
      </c>
      <c r="D5" s="3" t="inlineStr">
        <is>
          <t>Ready in 42m</t>
        </is>
      </c>
      <c r="E5" s="3" t="inlineStr">
        <is>
          <t>+48 Clay/hr</t>
        </is>
      </c>
    </row>
    <row r="6" ht="22" customHeight="1">
      <c r="A6" s="7" t="inlineStr">
        <is>
          <t>★★★★★</t>
        </is>
      </c>
      <c r="B6" s="7" t="inlineStr">
        <is>
          <t>Run Adventure</t>
        </is>
      </c>
      <c r="C6" s="7" t="inlineStr">
        <is>
          <t>Hero Idle &amp; Ready</t>
        </is>
      </c>
      <c r="D6" s="7" t="inlineStr">
        <is>
          <t>Immediate</t>
        </is>
      </c>
      <c r="E6" s="7" t="inlineStr">
        <is>
          <t>Expected XP &amp; Items</t>
        </is>
      </c>
    </row>
    <row r="7" ht="22" customHeight="1">
      <c r="A7" s="3" t="inlineStr">
        <is>
          <t>★★★★☆</t>
        </is>
      </c>
      <c r="B7" s="3" t="inlineStr">
        <is>
          <t>Build Marketplace Lvl 1</t>
        </is>
      </c>
      <c r="C7" s="3" t="inlineStr">
        <is>
          <t>Unlock Trade Options</t>
        </is>
      </c>
      <c r="D7" s="3" t="inlineStr">
        <is>
          <t>12m 40s</t>
        </is>
      </c>
      <c r="E7" s="3" t="inlineStr">
        <is>
          <t>Enables trade routes</t>
        </is>
      </c>
    </row>
    <row r="8" ht="22" customHeight="1">
      <c r="A8" s="7" t="inlineStr">
        <is>
          <t>★★★★☆</t>
        </is>
      </c>
      <c r="B8" s="7" t="inlineStr">
        <is>
          <t>Attack Oasis (-4|12)</t>
        </is>
      </c>
      <c r="C8" s="7" t="inlineStr">
        <is>
          <t>Highest Raid ROI</t>
        </is>
      </c>
      <c r="D8" s="7" t="inlineStr">
        <is>
          <t>35m travel</t>
        </is>
      </c>
      <c r="E8" s="7" t="inlineStr">
        <is>
          <t>Expected 800 resources</t>
        </is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40" customHeight="1">
      <c r="A1" s="1" t="inlineStr">
        <is>
          <t xml:space="preserve">  VillageOS  |  culations Lookup</t>
        </is>
      </c>
    </row>
    <row r="2" ht="15" customHeight="1"/>
    <row r="3">
      <c r="A3" s="2" t="inlineStr">
        <is>
          <t>Building Name</t>
        </is>
      </c>
      <c r="B3" s="2" t="inlineStr">
        <is>
          <t>Base Wood</t>
        </is>
      </c>
      <c r="C3" s="2" t="inlineStr">
        <is>
          <t>Base Clay</t>
        </is>
      </c>
      <c r="D3" s="2" t="inlineStr">
        <is>
          <t>Base Iron</t>
        </is>
      </c>
      <c r="E3" s="2" t="inlineStr">
        <is>
          <t>Base Crop</t>
        </is>
      </c>
      <c r="F3" s="2" t="inlineStr">
        <is>
          <t>Base Pop</t>
        </is>
      </c>
      <c r="G3" s="2" t="inlineStr">
        <is>
          <t>Base CP</t>
        </is>
      </c>
      <c r="H3" s="2" t="inlineStr">
        <is>
          <t>Base Time (s)</t>
        </is>
      </c>
    </row>
    <row r="4" ht="22" customHeight="1">
      <c r="A4" s="3" t="inlineStr">
        <is>
          <t>Woodcutter</t>
        </is>
      </c>
      <c r="B4" s="3" t="n">
        <v>40</v>
      </c>
      <c r="C4" s="3" t="n">
        <v>100</v>
      </c>
      <c r="D4" s="3" t="n">
        <v>50</v>
      </c>
      <c r="E4" s="3" t="n">
        <v>60</v>
      </c>
      <c r="F4" s="3" t="n">
        <v>2</v>
      </c>
      <c r="G4" s="3" t="n">
        <v>1</v>
      </c>
      <c r="H4" s="3" t="n">
        <v>300</v>
      </c>
    </row>
    <row r="5" ht="22" customHeight="1">
      <c r="A5" s="3" t="inlineStr">
        <is>
          <t>Clay Pit</t>
        </is>
      </c>
      <c r="B5" s="3" t="n">
        <v>120</v>
      </c>
      <c r="C5" s="3" t="n">
        <v>40</v>
      </c>
      <c r="D5" s="3" t="n">
        <v>80</v>
      </c>
      <c r="E5" s="3" t="n">
        <v>80</v>
      </c>
      <c r="F5" s="3" t="n">
        <v>2</v>
      </c>
      <c r="G5" s="3" t="n">
        <v>1</v>
      </c>
      <c r="H5" s="3" t="n">
        <v>300</v>
      </c>
    </row>
    <row r="6" ht="22" customHeight="1">
      <c r="A6" s="3" t="inlineStr">
        <is>
          <t>Iron Mine</t>
        </is>
      </c>
      <c r="B6" s="3" t="n">
        <v>100</v>
      </c>
      <c r="C6" s="3" t="n">
        <v>80</v>
      </c>
      <c r="D6" s="3" t="n">
        <v>40</v>
      </c>
      <c r="E6" s="3" t="n">
        <v>60</v>
      </c>
      <c r="F6" s="3" t="n">
        <v>2</v>
      </c>
      <c r="G6" s="3" t="n">
        <v>1</v>
      </c>
      <c r="H6" s="3" t="n">
        <v>360</v>
      </c>
    </row>
    <row r="7" ht="22" customHeight="1">
      <c r="A7" s="3" t="inlineStr">
        <is>
          <t>Cropland</t>
        </is>
      </c>
      <c r="B7" s="3" t="n">
        <v>70</v>
      </c>
      <c r="C7" s="3" t="n">
        <v>90</v>
      </c>
      <c r="D7" s="3" t="n">
        <v>70</v>
      </c>
      <c r="E7" s="3" t="n">
        <v>20</v>
      </c>
      <c r="F7" s="3" t="n">
        <v>0</v>
      </c>
      <c r="G7" s="3" t="n">
        <v>1</v>
      </c>
      <c r="H7" s="3" t="n">
        <v>260</v>
      </c>
    </row>
    <row r="8" ht="22" customHeight="1">
      <c r="A8" s="3" t="inlineStr">
        <is>
          <t>Main Building</t>
        </is>
      </c>
      <c r="B8" s="3" t="n">
        <v>70</v>
      </c>
      <c r="C8" s="3" t="n">
        <v>40</v>
      </c>
      <c r="D8" s="3" t="n">
        <v>60</v>
      </c>
      <c r="E8" s="3" t="n">
        <v>20</v>
      </c>
      <c r="F8" s="3" t="n">
        <v>2</v>
      </c>
      <c r="G8" s="3" t="n">
        <v>2</v>
      </c>
      <c r="H8" s="3" t="n">
        <v>330</v>
      </c>
    </row>
    <row r="9" ht="22" customHeight="1">
      <c r="A9" s="3" t="inlineStr">
        <is>
          <t>Warehouse</t>
        </is>
      </c>
      <c r="B9" s="3" t="n">
        <v>130</v>
      </c>
      <c r="C9" s="3" t="n">
        <v>160</v>
      </c>
      <c r="D9" s="3" t="n">
        <v>90</v>
      </c>
      <c r="E9" s="3" t="n">
        <v>40</v>
      </c>
      <c r="F9" s="3" t="n">
        <v>1</v>
      </c>
      <c r="G9" s="3" t="n">
        <v>1</v>
      </c>
      <c r="H9" s="3" t="n">
        <v>380</v>
      </c>
    </row>
    <row r="10" ht="22" customHeight="1">
      <c r="A10" s="3" t="inlineStr">
        <is>
          <t>Granary</t>
        </is>
      </c>
      <c r="B10" s="3" t="n">
        <v>80</v>
      </c>
      <c r="C10" s="3" t="n">
        <v>100</v>
      </c>
      <c r="D10" s="3" t="n">
        <v>70</v>
      </c>
      <c r="E10" s="3" t="n">
        <v>120</v>
      </c>
      <c r="F10" s="3" t="n">
        <v>1</v>
      </c>
      <c r="G10" s="3" t="n">
        <v>1</v>
      </c>
      <c r="H10" s="3" t="n">
        <v>310</v>
      </c>
    </row>
    <row r="11" ht="22" customHeight="1">
      <c r="A11" s="3" t="inlineStr">
        <is>
          <t>Academy</t>
        </is>
      </c>
      <c r="B11" s="3" t="n">
        <v>220</v>
      </c>
      <c r="C11" s="3" t="n">
        <v>160</v>
      </c>
      <c r="D11" s="3" t="n">
        <v>90</v>
      </c>
      <c r="E11" s="3" t="n">
        <v>40</v>
      </c>
      <c r="F11" s="3" t="n">
        <v>4</v>
      </c>
      <c r="G11" s="3" t="n">
        <v>4</v>
      </c>
      <c r="H11" s="3" t="n">
        <v>450</v>
      </c>
    </row>
    <row r="12" ht="22" customHeight="1">
      <c r="A12" s="3" t="inlineStr">
        <is>
          <t>Barracks</t>
        </is>
      </c>
      <c r="B12" s="3" t="n">
        <v>70</v>
      </c>
      <c r="C12" s="3" t="n">
        <v>120</v>
      </c>
      <c r="D12" s="3" t="n">
        <v>100</v>
      </c>
      <c r="E12" s="3" t="n">
        <v>80</v>
      </c>
      <c r="F12" s="3" t="n">
        <v>4</v>
      </c>
      <c r="G12" s="3" t="n">
        <v>1</v>
      </c>
      <c r="H12" s="3" t="n">
        <v>320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2026-07-10T08:52:21Z</dcterms:created>
  <dcterms:modified xmlns:dcterms="http://purl.org/dc/terms/" xmlns:xsi="http://www.w3.org/2001/XMLSchema-instance" xsi:type="dcterms:W3CDTF">2026-07-10T08:52:21Z</dcterms:modified>
</cp:coreProperties>
</file>